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i\OneDrive\Desktop\HR-Analytics-Dashboard\Dataset\"/>
    </mc:Choice>
  </mc:AlternateContent>
  <xr:revisionPtr revIDLastSave="0" documentId="13_ncr:1_{BF9DA884-C4FC-491A-A784-A34E8B2FF9AD}" xr6:coauthVersionLast="47" xr6:coauthVersionMax="47" xr10:uidLastSave="{00000000-0000-0000-0000-000000000000}"/>
  <bookViews>
    <workbookView xWindow="-120" yWindow="-120" windowWidth="29040" windowHeight="15720" tabRatio="904" activeTab="3" xr2:uid="{00000000-000D-0000-FFFF-FFFF00000000}"/>
  </bookViews>
  <sheets>
    <sheet name="Departments" sheetId="1" r:id="rId1"/>
    <sheet name="Employees" sheetId="2" r:id="rId2"/>
    <sheet name="Attendance" sheetId="3" r:id="rId3"/>
    <sheet name="Work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10" i="4"/>
  <c r="F11" i="4"/>
  <c r="F12" i="4"/>
  <c r="F13" i="4"/>
  <c r="F14" i="4"/>
  <c r="F15" i="4"/>
  <c r="F16" i="4"/>
  <c r="F5" i="4"/>
  <c r="F4" i="4"/>
  <c r="F3" i="4"/>
  <c r="F2" i="4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2" i="3"/>
  <c r="G2" i="3" s="1"/>
</calcChain>
</file>

<file path=xl/sharedStrings.xml><?xml version="1.0" encoding="utf-8"?>
<sst xmlns="http://schemas.openxmlformats.org/spreadsheetml/2006/main" count="81" uniqueCount="32">
  <si>
    <t>DepartmentID</t>
  </si>
  <si>
    <t>DepartmentName</t>
  </si>
  <si>
    <t>IT</t>
  </si>
  <si>
    <t>HR</t>
  </si>
  <si>
    <t>Operations</t>
  </si>
  <si>
    <t>Finance</t>
  </si>
  <si>
    <t>Administration</t>
  </si>
  <si>
    <t>EmployeeID</t>
  </si>
  <si>
    <t>EmployeeName</t>
  </si>
  <si>
    <t>JoinDate</t>
  </si>
  <si>
    <t>Status</t>
  </si>
  <si>
    <t>Rahul Sharma</t>
  </si>
  <si>
    <t>Active</t>
  </si>
  <si>
    <t>Ananya Patel</t>
  </si>
  <si>
    <t>Mohit Verma</t>
  </si>
  <si>
    <t>Pooja Mehta</t>
  </si>
  <si>
    <t>Kunal Shah</t>
  </si>
  <si>
    <t>Inactive</t>
  </si>
  <si>
    <t>Sneha Iyer</t>
  </si>
  <si>
    <t>Amit Joshi</t>
  </si>
  <si>
    <t>Neha Desai</t>
  </si>
  <si>
    <t>Rohan Mehta</t>
  </si>
  <si>
    <t>Priya Nair</t>
  </si>
  <si>
    <t>AttendanceID</t>
  </si>
  <si>
    <t>AttendanceDate</t>
  </si>
  <si>
    <t>HoursWorked</t>
  </si>
  <si>
    <t>Present</t>
  </si>
  <si>
    <t>Absent</t>
  </si>
  <si>
    <t>Leave</t>
  </si>
  <si>
    <t>WorkLogID</t>
  </si>
  <si>
    <t>WorkDate</t>
  </si>
  <si>
    <t>TaskCount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</si>
</sst>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defaultRowHeight="15" x14ac:dyDescent="0.25"/>
  <cols>
    <col min="1" max="1" width="13.7109375" bestFit="1" customWidth="1"/>
    <col min="2" max="2" width="17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C2" sqref="C2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3.7109375" bestFit="1" customWidth="1"/>
    <col min="4" max="4" width="10.42578125" bestFit="1" customWidth="1"/>
    <col min="5" max="5" width="8" bestFit="1" customWidth="1"/>
  </cols>
  <sheetData>
    <row r="1" spans="1:5" s="2" customFormat="1" x14ac:dyDescent="0.25">
      <c r="A1" s="2" t="s">
        <v>7</v>
      </c>
      <c r="B1" s="2" t="s">
        <v>8</v>
      </c>
      <c r="C1" s="2" t="s">
        <v>0</v>
      </c>
      <c r="D1" s="2" t="s">
        <v>9</v>
      </c>
      <c r="E1" s="2" t="s">
        <v>10</v>
      </c>
    </row>
    <row r="2" spans="1:5" x14ac:dyDescent="0.25">
      <c r="A2">
        <v>101</v>
      </c>
      <c r="B2" t="s">
        <v>11</v>
      </c>
      <c r="C2">
        <v>1</v>
      </c>
      <c r="D2" s="1">
        <v>44571</v>
      </c>
      <c r="E2" t="s">
        <v>12</v>
      </c>
    </row>
    <row r="3" spans="1:5" x14ac:dyDescent="0.25">
      <c r="A3">
        <v>102</v>
      </c>
      <c r="B3" t="s">
        <v>13</v>
      </c>
      <c r="C3">
        <v>3</v>
      </c>
      <c r="D3" s="1">
        <v>44505</v>
      </c>
      <c r="E3" t="s">
        <v>12</v>
      </c>
    </row>
    <row r="4" spans="1:5" x14ac:dyDescent="0.25">
      <c r="A4">
        <v>103</v>
      </c>
      <c r="B4" t="s">
        <v>14</v>
      </c>
      <c r="C4">
        <v>2</v>
      </c>
      <c r="D4" s="1">
        <v>44030</v>
      </c>
      <c r="E4" t="s">
        <v>12</v>
      </c>
    </row>
    <row r="5" spans="1:5" x14ac:dyDescent="0.25">
      <c r="A5">
        <v>104</v>
      </c>
      <c r="B5" t="s">
        <v>15</v>
      </c>
      <c r="C5">
        <v>4</v>
      </c>
      <c r="D5" s="1">
        <v>44986</v>
      </c>
      <c r="E5" t="s">
        <v>12</v>
      </c>
    </row>
    <row r="6" spans="1:5" x14ac:dyDescent="0.25">
      <c r="A6">
        <v>105</v>
      </c>
      <c r="B6" t="s">
        <v>16</v>
      </c>
      <c r="C6">
        <v>3</v>
      </c>
      <c r="D6" s="1">
        <v>43733</v>
      </c>
      <c r="E6" t="s">
        <v>17</v>
      </c>
    </row>
    <row r="7" spans="1:5" x14ac:dyDescent="0.25">
      <c r="A7">
        <v>106</v>
      </c>
      <c r="B7" t="s">
        <v>18</v>
      </c>
      <c r="C7">
        <v>1</v>
      </c>
      <c r="D7" s="1">
        <v>44727</v>
      </c>
      <c r="E7" t="s">
        <v>12</v>
      </c>
    </row>
    <row r="8" spans="1:5" x14ac:dyDescent="0.25">
      <c r="A8">
        <v>107</v>
      </c>
      <c r="B8" t="s">
        <v>19</v>
      </c>
      <c r="C8">
        <v>5</v>
      </c>
      <c r="D8" s="1">
        <v>44247</v>
      </c>
      <c r="E8" t="s">
        <v>12</v>
      </c>
    </row>
    <row r="9" spans="1:5" x14ac:dyDescent="0.25">
      <c r="A9">
        <v>108</v>
      </c>
      <c r="B9" t="s">
        <v>20</v>
      </c>
      <c r="C9">
        <v>3</v>
      </c>
      <c r="D9" s="1">
        <v>44175</v>
      </c>
      <c r="E9" t="s">
        <v>12</v>
      </c>
    </row>
    <row r="10" spans="1:5" x14ac:dyDescent="0.25">
      <c r="A10">
        <v>109</v>
      </c>
      <c r="B10" t="s">
        <v>21</v>
      </c>
      <c r="C10">
        <v>4</v>
      </c>
      <c r="D10" s="1">
        <v>43326</v>
      </c>
      <c r="E10" t="s">
        <v>17</v>
      </c>
    </row>
    <row r="11" spans="1:5" x14ac:dyDescent="0.25">
      <c r="A11">
        <v>110</v>
      </c>
      <c r="B11" t="s">
        <v>22</v>
      </c>
      <c r="C11">
        <v>2</v>
      </c>
      <c r="D11" s="1">
        <v>44809</v>
      </c>
      <c r="E11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workbookViewId="0">
      <selection activeCell="I22" sqref="I22"/>
    </sheetView>
  </sheetViews>
  <sheetFormatPr defaultRowHeight="15" x14ac:dyDescent="0.25"/>
  <cols>
    <col min="1" max="1" width="13.28515625" bestFit="1" customWidth="1"/>
    <col min="2" max="2" width="11.7109375" bestFit="1" customWidth="1"/>
    <col min="3" max="3" width="15.5703125" bestFit="1" customWidth="1"/>
    <col min="4" max="4" width="7.85546875" bestFit="1" customWidth="1"/>
    <col min="5" max="5" width="13.28515625" bestFit="1" customWidth="1"/>
    <col min="6" max="6" width="13.7109375" bestFit="1" customWidth="1"/>
  </cols>
  <sheetData>
    <row r="1" spans="1:7" s="2" customFormat="1" x14ac:dyDescent="0.25">
      <c r="A1" s="2" t="s">
        <v>23</v>
      </c>
      <c r="B1" s="2" t="s">
        <v>7</v>
      </c>
      <c r="C1" s="2" t="s">
        <v>24</v>
      </c>
      <c r="D1" s="2" t="s">
        <v>10</v>
      </c>
      <c r="E1" s="2" t="s">
        <v>25</v>
      </c>
      <c r="F1" s="2" t="s">
        <v>0</v>
      </c>
      <c r="G1" s="2" t="s">
        <v>1</v>
      </c>
    </row>
    <row r="2" spans="1:7" x14ac:dyDescent="0.25">
      <c r="A2">
        <v>1</v>
      </c>
      <c r="B2">
        <v>101</v>
      </c>
      <c r="C2" s="1">
        <v>45293</v>
      </c>
      <c r="D2" t="s">
        <v>26</v>
      </c>
      <c r="E2">
        <v>8</v>
      </c>
      <c r="F2">
        <f>VLOOKUP(B2, Employees!A:C, 3, FALSE)</f>
        <v>1</v>
      </c>
      <c r="G2" t="str">
        <f>VLOOKUP(F2, Departments!A:B, 2, FALSE)</f>
        <v>IT</v>
      </c>
    </row>
    <row r="3" spans="1:7" x14ac:dyDescent="0.25">
      <c r="A3">
        <v>2</v>
      </c>
      <c r="B3">
        <v>101</v>
      </c>
      <c r="C3" s="1">
        <v>45294</v>
      </c>
      <c r="D3" t="s">
        <v>26</v>
      </c>
      <c r="E3">
        <v>8</v>
      </c>
      <c r="F3">
        <f>VLOOKUP(B3, Employees!A:C, 3, FALSE)</f>
        <v>1</v>
      </c>
      <c r="G3" t="str">
        <f>VLOOKUP(F3, Departments!A:B, 2, FALSE)</f>
        <v>IT</v>
      </c>
    </row>
    <row r="4" spans="1:7" x14ac:dyDescent="0.25">
      <c r="A4">
        <v>3</v>
      </c>
      <c r="B4">
        <v>101</v>
      </c>
      <c r="C4" s="1">
        <v>45295</v>
      </c>
      <c r="D4" t="s">
        <v>27</v>
      </c>
      <c r="E4">
        <v>0</v>
      </c>
      <c r="F4">
        <f>VLOOKUP(B4, Employees!A:C, 3, FALSE)</f>
        <v>1</v>
      </c>
      <c r="G4" t="str">
        <f>VLOOKUP(F4, Departments!A:B, 2, FALSE)</f>
        <v>IT</v>
      </c>
    </row>
    <row r="5" spans="1:7" x14ac:dyDescent="0.25">
      <c r="A5">
        <v>4</v>
      </c>
      <c r="B5">
        <v>102</v>
      </c>
      <c r="C5" s="1">
        <v>45293</v>
      </c>
      <c r="D5" t="s">
        <v>26</v>
      </c>
      <c r="E5">
        <v>7.5</v>
      </c>
      <c r="F5">
        <f>VLOOKUP(B5, Employees!A:C, 3, FALSE)</f>
        <v>3</v>
      </c>
      <c r="G5" t="str">
        <f>VLOOKUP(F5, Departments!A:B, 2, FALSE)</f>
        <v>Operations</v>
      </c>
    </row>
    <row r="6" spans="1:7" x14ac:dyDescent="0.25">
      <c r="A6">
        <v>5</v>
      </c>
      <c r="B6">
        <v>102</v>
      </c>
      <c r="C6" s="1">
        <v>45294</v>
      </c>
      <c r="D6" t="s">
        <v>26</v>
      </c>
      <c r="E6">
        <v>8</v>
      </c>
      <c r="F6">
        <f>VLOOKUP(B6, Employees!A:C, 3, FALSE)</f>
        <v>3</v>
      </c>
      <c r="G6" t="str">
        <f>VLOOKUP(F6, Departments!A:B, 2, FALSE)</f>
        <v>Operations</v>
      </c>
    </row>
    <row r="7" spans="1:7" x14ac:dyDescent="0.25">
      <c r="A7">
        <v>6</v>
      </c>
      <c r="B7">
        <v>102</v>
      </c>
      <c r="C7" s="1">
        <v>45295</v>
      </c>
      <c r="D7" t="s">
        <v>28</v>
      </c>
      <c r="E7">
        <v>0</v>
      </c>
      <c r="F7">
        <f>VLOOKUP(B7, Employees!A:C, 3, FALSE)</f>
        <v>3</v>
      </c>
      <c r="G7" t="str">
        <f>VLOOKUP(F7, Departments!A:B, 2, FALSE)</f>
        <v>Operations</v>
      </c>
    </row>
    <row r="8" spans="1:7" x14ac:dyDescent="0.25">
      <c r="A8">
        <v>7</v>
      </c>
      <c r="B8">
        <v>103</v>
      </c>
      <c r="C8" s="1">
        <v>45293</v>
      </c>
      <c r="D8" t="s">
        <v>26</v>
      </c>
      <c r="E8">
        <v>8</v>
      </c>
      <c r="F8">
        <f>VLOOKUP(B8, Employees!A:C, 3, FALSE)</f>
        <v>2</v>
      </c>
      <c r="G8" t="str">
        <f>VLOOKUP(F8, Departments!A:B, 2, FALSE)</f>
        <v>HR</v>
      </c>
    </row>
    <row r="9" spans="1:7" x14ac:dyDescent="0.25">
      <c r="A9">
        <v>8</v>
      </c>
      <c r="B9">
        <v>103</v>
      </c>
      <c r="C9" s="1">
        <v>45294</v>
      </c>
      <c r="D9" t="s">
        <v>26</v>
      </c>
      <c r="E9">
        <v>7.5</v>
      </c>
      <c r="F9">
        <f>VLOOKUP(B9, Employees!A:C, 3, FALSE)</f>
        <v>2</v>
      </c>
      <c r="G9" t="str">
        <f>VLOOKUP(F9, Departments!A:B, 2, FALSE)</f>
        <v>HR</v>
      </c>
    </row>
    <row r="10" spans="1:7" x14ac:dyDescent="0.25">
      <c r="A10">
        <v>9</v>
      </c>
      <c r="B10">
        <v>103</v>
      </c>
      <c r="C10" s="1">
        <v>45295</v>
      </c>
      <c r="D10" t="s">
        <v>26</v>
      </c>
      <c r="E10">
        <v>8</v>
      </c>
      <c r="F10">
        <f>VLOOKUP(B10, Employees!A:C, 3, FALSE)</f>
        <v>2</v>
      </c>
      <c r="G10" t="str">
        <f>VLOOKUP(F10, Departments!A:B, 2, FALSE)</f>
        <v>HR</v>
      </c>
    </row>
    <row r="11" spans="1:7" x14ac:dyDescent="0.25">
      <c r="A11">
        <v>10</v>
      </c>
      <c r="B11">
        <v>104</v>
      </c>
      <c r="C11" s="1">
        <v>45293</v>
      </c>
      <c r="D11" t="s">
        <v>28</v>
      </c>
      <c r="E11">
        <v>0</v>
      </c>
      <c r="F11">
        <f>VLOOKUP(B11, Employees!A:C, 3, FALSE)</f>
        <v>4</v>
      </c>
      <c r="G11" t="str">
        <f>VLOOKUP(F11, Departments!A:B, 2, FALSE)</f>
        <v>Finance</v>
      </c>
    </row>
    <row r="12" spans="1:7" x14ac:dyDescent="0.25">
      <c r="A12">
        <v>11</v>
      </c>
      <c r="B12">
        <v>104</v>
      </c>
      <c r="C12" s="1">
        <v>45294</v>
      </c>
      <c r="D12" t="s">
        <v>26</v>
      </c>
      <c r="E12">
        <v>8</v>
      </c>
      <c r="F12">
        <f>VLOOKUP(B12, Employees!A:C, 3, FALSE)</f>
        <v>4</v>
      </c>
      <c r="G12" t="str">
        <f>VLOOKUP(F12, Departments!A:B, 2, FALSE)</f>
        <v>Finance</v>
      </c>
    </row>
    <row r="13" spans="1:7" x14ac:dyDescent="0.25">
      <c r="A13">
        <v>12</v>
      </c>
      <c r="B13">
        <v>105</v>
      </c>
      <c r="C13" s="1">
        <v>45293</v>
      </c>
      <c r="D13" t="s">
        <v>27</v>
      </c>
      <c r="E13">
        <v>0</v>
      </c>
      <c r="F13">
        <f>VLOOKUP(B13, Employees!A:C, 3, FALSE)</f>
        <v>3</v>
      </c>
      <c r="G13" t="str">
        <f>VLOOKUP(F13, Departments!A:B, 2, FALSE)</f>
        <v>Operations</v>
      </c>
    </row>
    <row r="14" spans="1:7" x14ac:dyDescent="0.25">
      <c r="A14">
        <v>13</v>
      </c>
      <c r="B14">
        <v>106</v>
      </c>
      <c r="C14" s="1">
        <v>45293</v>
      </c>
      <c r="D14" t="s">
        <v>26</v>
      </c>
      <c r="E14">
        <v>8</v>
      </c>
      <c r="F14">
        <f>VLOOKUP(B14, Employees!A:C, 3, FALSE)</f>
        <v>1</v>
      </c>
      <c r="G14" t="str">
        <f>VLOOKUP(F14, Departments!A:B, 2, FALSE)</f>
        <v>IT</v>
      </c>
    </row>
    <row r="15" spans="1:7" x14ac:dyDescent="0.25">
      <c r="A15">
        <v>14</v>
      </c>
      <c r="B15">
        <v>106</v>
      </c>
      <c r="C15" s="1">
        <v>45294</v>
      </c>
      <c r="D15" t="s">
        <v>26</v>
      </c>
      <c r="E15">
        <v>8</v>
      </c>
      <c r="F15">
        <f>VLOOKUP(B15, Employees!A:C, 3, FALSE)</f>
        <v>1</v>
      </c>
      <c r="G15" t="str">
        <f>VLOOKUP(F15, Departments!A:B, 2, FALSE)</f>
        <v>IT</v>
      </c>
    </row>
    <row r="16" spans="1:7" x14ac:dyDescent="0.25">
      <c r="A16">
        <v>15</v>
      </c>
      <c r="B16">
        <v>107</v>
      </c>
      <c r="C16" s="1">
        <v>45293</v>
      </c>
      <c r="D16" t="s">
        <v>26</v>
      </c>
      <c r="E16">
        <v>7</v>
      </c>
      <c r="F16">
        <f>VLOOKUP(B16, Employees!A:C, 3, FALSE)</f>
        <v>5</v>
      </c>
      <c r="G16" t="str">
        <f>VLOOKUP(F16, Departments!A:B, 2, FALSE)</f>
        <v>Administration</v>
      </c>
    </row>
    <row r="17" spans="1:7" x14ac:dyDescent="0.25">
      <c r="A17">
        <v>16</v>
      </c>
      <c r="B17">
        <v>108</v>
      </c>
      <c r="C17" s="1">
        <v>45293</v>
      </c>
      <c r="D17" t="s">
        <v>26</v>
      </c>
      <c r="E17">
        <v>8</v>
      </c>
      <c r="F17">
        <f>VLOOKUP(B17, Employees!A:C, 3, FALSE)</f>
        <v>3</v>
      </c>
      <c r="G17" t="str">
        <f>VLOOKUP(F17, Departments!A:B, 2, FALSE)</f>
        <v>Operations</v>
      </c>
    </row>
    <row r="18" spans="1:7" x14ac:dyDescent="0.25">
      <c r="A18">
        <v>17</v>
      </c>
      <c r="B18">
        <v>108</v>
      </c>
      <c r="C18" s="1">
        <v>45294</v>
      </c>
      <c r="D18" t="s">
        <v>27</v>
      </c>
      <c r="E18">
        <v>0</v>
      </c>
      <c r="F18">
        <f>VLOOKUP(B18, Employees!A:C, 3, FALSE)</f>
        <v>3</v>
      </c>
      <c r="G18" t="str">
        <f>VLOOKUP(F18, Departments!A:B, 2, FALSE)</f>
        <v>Operations</v>
      </c>
    </row>
    <row r="19" spans="1:7" x14ac:dyDescent="0.25">
      <c r="A19">
        <v>18</v>
      </c>
      <c r="B19">
        <v>109</v>
      </c>
      <c r="C19" s="1">
        <v>45293</v>
      </c>
      <c r="D19" t="s">
        <v>27</v>
      </c>
      <c r="E19">
        <v>0</v>
      </c>
      <c r="F19">
        <f>VLOOKUP(B19, Employees!A:C, 3, FALSE)</f>
        <v>4</v>
      </c>
      <c r="G19" t="str">
        <f>VLOOKUP(F19, Departments!A:B, 2, FALSE)</f>
        <v>Finance</v>
      </c>
    </row>
    <row r="20" spans="1:7" x14ac:dyDescent="0.25">
      <c r="A20">
        <v>19</v>
      </c>
      <c r="B20">
        <v>110</v>
      </c>
      <c r="C20" s="1">
        <v>45293</v>
      </c>
      <c r="D20" t="s">
        <v>26</v>
      </c>
      <c r="E20">
        <v>8</v>
      </c>
      <c r="F20">
        <f>VLOOKUP(B20, Employees!A:C, 3, FALSE)</f>
        <v>2</v>
      </c>
      <c r="G20" t="str">
        <f>VLOOKUP(F20, Departments!A:B, 2, FALSE)</f>
        <v>HR</v>
      </c>
    </row>
    <row r="21" spans="1:7" x14ac:dyDescent="0.25">
      <c r="A21">
        <v>20</v>
      </c>
      <c r="B21">
        <v>110</v>
      </c>
      <c r="C21" s="1">
        <v>45294</v>
      </c>
      <c r="D21" t="s">
        <v>26</v>
      </c>
      <c r="E21">
        <v>7.5</v>
      </c>
      <c r="F21">
        <f>VLOOKUP(B21, Employees!A:C, 3, FALSE)</f>
        <v>2</v>
      </c>
      <c r="G21" t="str">
        <f>VLOOKUP(F21, Departments!A:B, 2, FALSE)</f>
        <v>HR</v>
      </c>
    </row>
    <row r="22" spans="1:7" x14ac:dyDescent="0.25">
      <c r="A22">
        <v>21</v>
      </c>
      <c r="B22">
        <v>101</v>
      </c>
      <c r="C22" s="1">
        <v>45327</v>
      </c>
      <c r="D22" t="s">
        <v>26</v>
      </c>
      <c r="E22">
        <v>8</v>
      </c>
      <c r="F22">
        <f>VLOOKUP(B22, Employees!A:C, 3, FALSE)</f>
        <v>1</v>
      </c>
      <c r="G22" t="str">
        <f>VLOOKUP(F22, Departments!A:B, 2, FALSE)</f>
        <v>IT</v>
      </c>
    </row>
    <row r="23" spans="1:7" x14ac:dyDescent="0.25">
      <c r="A23">
        <v>22</v>
      </c>
      <c r="B23">
        <v>102</v>
      </c>
      <c r="C23" s="1">
        <v>45327</v>
      </c>
      <c r="D23" t="s">
        <v>26</v>
      </c>
      <c r="E23">
        <v>8</v>
      </c>
      <c r="F23">
        <f>VLOOKUP(B23, Employees!A:C, 3, FALSE)</f>
        <v>3</v>
      </c>
      <c r="G23" t="str">
        <f>VLOOKUP(F23, Departments!A:B, 2, FALSE)</f>
        <v>Operations</v>
      </c>
    </row>
    <row r="24" spans="1:7" x14ac:dyDescent="0.25">
      <c r="A24">
        <v>23</v>
      </c>
      <c r="B24">
        <v>103</v>
      </c>
      <c r="C24" s="1">
        <v>45327</v>
      </c>
      <c r="D24" t="s">
        <v>26</v>
      </c>
      <c r="E24">
        <v>8</v>
      </c>
      <c r="F24">
        <f>VLOOKUP(B24, Employees!A:C, 3, FALSE)</f>
        <v>2</v>
      </c>
      <c r="G24" t="str">
        <f>VLOOKUP(F24, Departments!A:B, 2, FALSE)</f>
        <v>HR</v>
      </c>
    </row>
    <row r="25" spans="1:7" x14ac:dyDescent="0.25">
      <c r="A25">
        <v>24</v>
      </c>
      <c r="B25">
        <v>104</v>
      </c>
      <c r="C25" s="1">
        <v>45327</v>
      </c>
      <c r="D25" t="s">
        <v>26</v>
      </c>
      <c r="E25">
        <v>7</v>
      </c>
      <c r="F25">
        <f>VLOOKUP(B25, Employees!A:C, 3, FALSE)</f>
        <v>4</v>
      </c>
      <c r="G25" t="str">
        <f>VLOOKUP(F25, Departments!A:B, 2, FALSE)</f>
        <v>Finance</v>
      </c>
    </row>
    <row r="26" spans="1:7" x14ac:dyDescent="0.25">
      <c r="A26">
        <v>25</v>
      </c>
      <c r="B26">
        <v>106</v>
      </c>
      <c r="C26" s="1">
        <v>45327</v>
      </c>
      <c r="D26" t="s">
        <v>26</v>
      </c>
      <c r="E26">
        <v>8</v>
      </c>
      <c r="F26">
        <f>VLOOKUP(B26, Employees!A:C, 3, FALSE)</f>
        <v>1</v>
      </c>
      <c r="G26" t="str">
        <f>VLOOKUP(F26, Departments!A:B, 2, FALSE)</f>
        <v>IT</v>
      </c>
    </row>
    <row r="27" spans="1:7" x14ac:dyDescent="0.25">
      <c r="A27">
        <v>26</v>
      </c>
      <c r="B27">
        <v>107</v>
      </c>
      <c r="C27" s="1">
        <v>45327</v>
      </c>
      <c r="D27" t="s">
        <v>28</v>
      </c>
      <c r="E27">
        <v>0</v>
      </c>
      <c r="F27">
        <f>VLOOKUP(B27, Employees!A:C, 3, FALSE)</f>
        <v>5</v>
      </c>
      <c r="G27" t="str">
        <f>VLOOKUP(F27, Departments!A:B, 2, FALSE)</f>
        <v>Administration</v>
      </c>
    </row>
    <row r="28" spans="1:7" x14ac:dyDescent="0.25">
      <c r="A28">
        <v>27</v>
      </c>
      <c r="B28">
        <v>108</v>
      </c>
      <c r="C28" s="1">
        <v>45327</v>
      </c>
      <c r="D28" t="s">
        <v>26</v>
      </c>
      <c r="E28">
        <v>8</v>
      </c>
      <c r="F28">
        <f>VLOOKUP(B28, Employees!A:C, 3, FALSE)</f>
        <v>3</v>
      </c>
      <c r="G28" t="str">
        <f>VLOOKUP(F28, Departments!A:B, 2, FALSE)</f>
        <v>Operations</v>
      </c>
    </row>
    <row r="29" spans="1:7" x14ac:dyDescent="0.25">
      <c r="A29">
        <v>28</v>
      </c>
      <c r="B29">
        <v>110</v>
      </c>
      <c r="C29" s="1">
        <v>45327</v>
      </c>
      <c r="D29" t="s">
        <v>26</v>
      </c>
      <c r="E29">
        <v>8</v>
      </c>
      <c r="F29">
        <f>VLOOKUP(B29, Employees!A:C, 3, FALSE)</f>
        <v>2</v>
      </c>
      <c r="G29" t="str">
        <f>VLOOKUP(F29, Departments!A:B, 2, FALSE)</f>
        <v>HR</v>
      </c>
    </row>
    <row r="30" spans="1:7" x14ac:dyDescent="0.25">
      <c r="A30">
        <v>29</v>
      </c>
      <c r="B30">
        <v>101</v>
      </c>
      <c r="C30" s="1">
        <v>45355</v>
      </c>
      <c r="D30" t="s">
        <v>26</v>
      </c>
      <c r="E30">
        <v>8</v>
      </c>
      <c r="F30">
        <f>VLOOKUP(B30, Employees!A:C, 3, FALSE)</f>
        <v>1</v>
      </c>
      <c r="G30" t="str">
        <f>VLOOKUP(F30, Departments!A:B, 2, FALSE)</f>
        <v>IT</v>
      </c>
    </row>
    <row r="31" spans="1:7" x14ac:dyDescent="0.25">
      <c r="A31">
        <v>30</v>
      </c>
      <c r="B31">
        <v>102</v>
      </c>
      <c r="C31" s="1">
        <v>45355</v>
      </c>
      <c r="D31" t="s">
        <v>26</v>
      </c>
      <c r="E31">
        <v>7.5</v>
      </c>
      <c r="F31">
        <f>VLOOKUP(B31, Employees!A:C, 3, FALSE)</f>
        <v>3</v>
      </c>
      <c r="G31" t="str">
        <f>VLOOKUP(F31, Departments!A:B, 2, FALSE)</f>
        <v>Operations</v>
      </c>
    </row>
    <row r="32" spans="1:7" x14ac:dyDescent="0.25">
      <c r="A32">
        <v>31</v>
      </c>
      <c r="B32">
        <v>103</v>
      </c>
      <c r="C32" s="1">
        <v>45355</v>
      </c>
      <c r="D32" t="s">
        <v>26</v>
      </c>
      <c r="E32">
        <v>8</v>
      </c>
      <c r="F32">
        <f>VLOOKUP(B32, Employees!A:C, 3, FALSE)</f>
        <v>2</v>
      </c>
      <c r="G32" t="str">
        <f>VLOOKUP(F32, Departments!A:B, 2, FALSE)</f>
        <v>HR</v>
      </c>
    </row>
    <row r="33" spans="1:7" x14ac:dyDescent="0.25">
      <c r="A33">
        <v>32</v>
      </c>
      <c r="B33">
        <v>104</v>
      </c>
      <c r="C33" s="1">
        <v>45355</v>
      </c>
      <c r="D33" t="s">
        <v>28</v>
      </c>
      <c r="E33">
        <v>0</v>
      </c>
      <c r="F33">
        <f>VLOOKUP(B33, Employees!A:C, 3, FALSE)</f>
        <v>4</v>
      </c>
      <c r="G33" t="str">
        <f>VLOOKUP(F33, Departments!A:B, 2, FALSE)</f>
        <v>Finance</v>
      </c>
    </row>
    <row r="34" spans="1:7" x14ac:dyDescent="0.25">
      <c r="A34">
        <v>33</v>
      </c>
      <c r="B34">
        <v>106</v>
      </c>
      <c r="C34" s="1">
        <v>45355</v>
      </c>
      <c r="D34" t="s">
        <v>26</v>
      </c>
      <c r="E34">
        <v>8</v>
      </c>
      <c r="F34">
        <f>VLOOKUP(B34, Employees!A:C, 3, FALSE)</f>
        <v>1</v>
      </c>
      <c r="G34" t="str">
        <f>VLOOKUP(F34, Departments!A:B, 2, FALSE)</f>
        <v>IT</v>
      </c>
    </row>
    <row r="35" spans="1:7" x14ac:dyDescent="0.25">
      <c r="A35">
        <v>34</v>
      </c>
      <c r="B35">
        <v>107</v>
      </c>
      <c r="C35" s="1">
        <v>45355</v>
      </c>
      <c r="D35" t="s">
        <v>26</v>
      </c>
      <c r="E35">
        <v>7</v>
      </c>
      <c r="F35">
        <f>VLOOKUP(B35, Employees!A:C, 3, FALSE)</f>
        <v>5</v>
      </c>
      <c r="G35" t="str">
        <f>VLOOKUP(F35, Departments!A:B, 2, FALSE)</f>
        <v>Administration</v>
      </c>
    </row>
    <row r="36" spans="1:7" x14ac:dyDescent="0.25">
      <c r="A36">
        <v>35</v>
      </c>
      <c r="B36">
        <v>108</v>
      </c>
      <c r="C36" s="1">
        <v>45355</v>
      </c>
      <c r="D36" t="s">
        <v>26</v>
      </c>
      <c r="E36">
        <v>8</v>
      </c>
      <c r="F36">
        <f>VLOOKUP(B36, Employees!A:C, 3, FALSE)</f>
        <v>3</v>
      </c>
      <c r="G36" t="str">
        <f>VLOOKUP(F36, Departments!A:B, 2, FALSE)</f>
        <v>Operations</v>
      </c>
    </row>
    <row r="37" spans="1:7" x14ac:dyDescent="0.25">
      <c r="A37">
        <v>36</v>
      </c>
      <c r="B37">
        <v>110</v>
      </c>
      <c r="C37" s="1">
        <v>45355</v>
      </c>
      <c r="D37" t="s">
        <v>26</v>
      </c>
      <c r="E37">
        <v>8</v>
      </c>
      <c r="F37">
        <f>VLOOKUP(B37, Employees!A:C, 3, FALSE)</f>
        <v>2</v>
      </c>
      <c r="G37" t="str">
        <f>VLOOKUP(F37, Departments!A:B, 2, FALSE)</f>
        <v>HR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tabSelected="1" workbookViewId="0">
      <selection activeCell="E36" sqref="E36"/>
    </sheetView>
  </sheetViews>
  <sheetFormatPr defaultRowHeight="15" x14ac:dyDescent="0.25"/>
  <cols>
    <col min="1" max="1" width="10.5703125" bestFit="1" customWidth="1"/>
    <col min="2" max="2" width="11.7109375" bestFit="1" customWidth="1"/>
    <col min="3" max="3" width="10.42578125" bestFit="1" customWidth="1"/>
    <col min="4" max="4" width="10.140625" bestFit="1" customWidth="1"/>
    <col min="5" max="5" width="13.7109375" bestFit="1" customWidth="1"/>
    <col min="6" max="6" width="17.28515625" bestFit="1" customWidth="1"/>
  </cols>
  <sheetData>
    <row r="1" spans="1:6" s="2" customFormat="1" x14ac:dyDescent="0.25">
      <c r="A1" s="2" t="s">
        <v>29</v>
      </c>
      <c r="B1" s="2" t="s">
        <v>7</v>
      </c>
      <c r="C1" s="2" t="s">
        <v>30</v>
      </c>
      <c r="D1" s="2" t="s">
        <v>31</v>
      </c>
      <c r="E1" s="2" t="s">
        <v>0</v>
      </c>
      <c r="F1" s="2" t="s">
        <v>1</v>
      </c>
    </row>
    <row r="2" spans="1:6" x14ac:dyDescent="0.25">
      <c r="A2">
        <v>1</v>
      </c>
      <c r="B2">
        <v>101</v>
      </c>
      <c r="C2" s="1">
        <v>45293</v>
      </c>
      <c r="D2">
        <v>6</v>
      </c>
      <c r="E2">
        <v>1</v>
      </c>
      <c r="F2" t="str">
        <f>VLOOKUP(E:E,Departments!A:B,2,)</f>
        <v>IT</v>
      </c>
    </row>
    <row r="3" spans="1:6" x14ac:dyDescent="0.25">
      <c r="A3">
        <v>2</v>
      </c>
      <c r="B3">
        <v>102</v>
      </c>
      <c r="C3" s="1">
        <v>45293</v>
      </c>
      <c r="D3">
        <v>4</v>
      </c>
      <c r="E3">
        <v>3</v>
      </c>
      <c r="F3" t="str">
        <f>VLOOKUP(E:E,Departments!A:B,2,)</f>
        <v>Operations</v>
      </c>
    </row>
    <row r="4" spans="1:6" x14ac:dyDescent="0.25">
      <c r="A4">
        <v>3</v>
      </c>
      <c r="B4">
        <v>103</v>
      </c>
      <c r="C4" s="1">
        <v>45293</v>
      </c>
      <c r="D4">
        <v>5</v>
      </c>
      <c r="E4">
        <v>2</v>
      </c>
      <c r="F4" t="str">
        <f>VLOOKUP(E:E,Departments!A:B,2,)</f>
        <v>HR</v>
      </c>
    </row>
    <row r="5" spans="1:6" x14ac:dyDescent="0.25">
      <c r="A5">
        <v>4</v>
      </c>
      <c r="B5">
        <v>104</v>
      </c>
      <c r="C5" s="1">
        <v>45293</v>
      </c>
      <c r="D5">
        <v>3</v>
      </c>
      <c r="E5">
        <v>4</v>
      </c>
      <c r="F5" t="str">
        <f>VLOOKUP(E:E,Departments!A:B,2,)</f>
        <v>Finance</v>
      </c>
    </row>
    <row r="6" spans="1:6" x14ac:dyDescent="0.25">
      <c r="A6">
        <v>5</v>
      </c>
      <c r="B6">
        <v>106</v>
      </c>
      <c r="C6" s="1">
        <v>45293</v>
      </c>
      <c r="D6">
        <v>7</v>
      </c>
      <c r="E6">
        <v>1</v>
      </c>
      <c r="F6" t="str">
        <f>VLOOKUP(E:E,Departments!A:B,2,)</f>
        <v>IT</v>
      </c>
    </row>
    <row r="7" spans="1:6" x14ac:dyDescent="0.25">
      <c r="A7">
        <v>6</v>
      </c>
      <c r="B7">
        <v>107</v>
      </c>
      <c r="C7" s="1">
        <v>45293</v>
      </c>
      <c r="D7">
        <v>4</v>
      </c>
      <c r="E7">
        <v>5</v>
      </c>
      <c r="F7" t="str">
        <f>VLOOKUP(E:E,Departments!A:B,2,)</f>
        <v>Administration</v>
      </c>
    </row>
    <row r="8" spans="1:6" x14ac:dyDescent="0.25">
      <c r="A8">
        <v>7</v>
      </c>
      <c r="B8">
        <v>108</v>
      </c>
      <c r="C8" s="1">
        <v>45293</v>
      </c>
      <c r="D8">
        <v>6</v>
      </c>
      <c r="E8">
        <v>3</v>
      </c>
      <c r="F8" t="str">
        <f>VLOOKUP(E:E,Departments!A:B,2,)</f>
        <v>Operations</v>
      </c>
    </row>
    <row r="9" spans="1:6" x14ac:dyDescent="0.25">
      <c r="A9">
        <v>8</v>
      </c>
      <c r="B9">
        <v>110</v>
      </c>
      <c r="C9" s="1">
        <v>45293</v>
      </c>
      <c r="D9">
        <v>5</v>
      </c>
      <c r="E9">
        <v>2</v>
      </c>
      <c r="F9" t="str">
        <f>VLOOKUP(E:E,Departments!A:B,2,)</f>
        <v>HR</v>
      </c>
    </row>
    <row r="10" spans="1:6" x14ac:dyDescent="0.25">
      <c r="A10">
        <v>9</v>
      </c>
      <c r="B10">
        <v>101</v>
      </c>
      <c r="C10" s="1">
        <v>45327</v>
      </c>
      <c r="D10">
        <v>7</v>
      </c>
      <c r="E10">
        <v>1</v>
      </c>
      <c r="F10" t="str">
        <f>VLOOKUP(E:E,Departments!A:B,2,)</f>
        <v>IT</v>
      </c>
    </row>
    <row r="11" spans="1:6" x14ac:dyDescent="0.25">
      <c r="A11">
        <v>10</v>
      </c>
      <c r="B11">
        <v>102</v>
      </c>
      <c r="C11" s="1">
        <v>45327</v>
      </c>
      <c r="D11">
        <v>5</v>
      </c>
      <c r="E11">
        <v>3</v>
      </c>
      <c r="F11" t="str">
        <f>VLOOKUP(E:E,Departments!A:B,2,)</f>
        <v>Operations</v>
      </c>
    </row>
    <row r="12" spans="1:6" x14ac:dyDescent="0.25">
      <c r="A12">
        <v>11</v>
      </c>
      <c r="B12">
        <v>103</v>
      </c>
      <c r="C12" s="1">
        <v>45327</v>
      </c>
      <c r="D12">
        <v>6</v>
      </c>
      <c r="E12">
        <v>2</v>
      </c>
      <c r="F12" t="str">
        <f>VLOOKUP(E:E,Departments!A:B,2,)</f>
        <v>HR</v>
      </c>
    </row>
    <row r="13" spans="1:6" x14ac:dyDescent="0.25">
      <c r="A13">
        <v>12</v>
      </c>
      <c r="B13">
        <v>104</v>
      </c>
      <c r="C13" s="1">
        <v>45327</v>
      </c>
      <c r="D13">
        <v>4</v>
      </c>
      <c r="E13">
        <v>4</v>
      </c>
      <c r="F13" t="str">
        <f>VLOOKUP(E:E,Departments!A:B,2,)</f>
        <v>Finance</v>
      </c>
    </row>
    <row r="14" spans="1:6" x14ac:dyDescent="0.25">
      <c r="A14">
        <v>13</v>
      </c>
      <c r="B14">
        <v>106</v>
      </c>
      <c r="C14" s="1">
        <v>45355</v>
      </c>
      <c r="D14">
        <v>8</v>
      </c>
      <c r="E14">
        <v>1</v>
      </c>
      <c r="F14" t="str">
        <f>VLOOKUP(E:E,Departments!A:B,2,)</f>
        <v>IT</v>
      </c>
    </row>
    <row r="15" spans="1:6" x14ac:dyDescent="0.25">
      <c r="A15">
        <v>14</v>
      </c>
      <c r="B15">
        <v>108</v>
      </c>
      <c r="C15" s="1">
        <v>45355</v>
      </c>
      <c r="D15">
        <v>6</v>
      </c>
      <c r="E15">
        <v>3</v>
      </c>
      <c r="F15" t="str">
        <f>VLOOKUP(E:E,Departments!A:B,2,)</f>
        <v>Operations</v>
      </c>
    </row>
    <row r="16" spans="1:6" x14ac:dyDescent="0.25">
      <c r="A16">
        <v>15</v>
      </c>
      <c r="B16">
        <v>110</v>
      </c>
      <c r="C16" s="1">
        <v>45355</v>
      </c>
      <c r="D16">
        <v>5</v>
      </c>
      <c r="E16">
        <v>2</v>
      </c>
      <c r="F16" t="str">
        <f>VLOOKUP(E:E,Departments!A:B,2,)</f>
        <v>HR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Employees</vt:lpstr>
      <vt:lpstr>Attendance</vt:lpstr>
      <vt:lpstr>WorkLog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JOSHI HIRAV ALPESHKUMAR</dc:creator>
  <cp:lastModifiedBy>Hirav Joshi</cp:lastModifiedBy>
  <dcterms:created xsi:type="dcterms:W3CDTF">2026-01-19T09:20:53Z</dcterms:created>
  <dcterms:modified xsi:type="dcterms:W3CDTF">2026-01-21T07:21:55Z</dcterms:modified>
</cp:coreProperties>
</file>